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BN DSR\"/>
    </mc:Choice>
  </mc:AlternateContent>
  <xr:revisionPtr revIDLastSave="0" documentId="13_ncr:1_{AB4D9367-CB7D-4ECD-9FA8-B380F282A5A9}" xr6:coauthVersionLast="36" xr6:coauthVersionMax="47" xr10:uidLastSave="{00000000-0000-0000-0000-000000000000}"/>
  <bookViews>
    <workbookView xWindow="0" yWindow="0" windowWidth="20490" windowHeight="7545" xr2:uid="{88074A92-50CE-4A1A-9C53-6B5773D74543}"/>
  </bookViews>
  <sheets>
    <sheet name="APR-26" sheetId="22" r:id="rId1"/>
  </sheets>
  <definedNames>
    <definedName name="_xlnm._FilterDatabase" localSheetId="0" hidden="1">'APR-26'!$A$1:$R$54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22" l="1"/>
  <c r="P18" i="22"/>
  <c r="P17" i="22"/>
  <c r="M2" i="22" l="1"/>
  <c r="O2" i="22"/>
  <c r="A3" i="22" l="1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P3" i="22"/>
  <c r="O54" i="22"/>
  <c r="N54" i="22"/>
  <c r="M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2" i="22"/>
  <c r="P21" i="22"/>
  <c r="P20" i="22"/>
  <c r="P19" i="22"/>
  <c r="P16" i="22"/>
  <c r="P15" i="22"/>
  <c r="P14" i="22"/>
  <c r="P13" i="22"/>
  <c r="P12" i="22"/>
  <c r="P11" i="22"/>
  <c r="P10" i="22"/>
  <c r="P9" i="22"/>
  <c r="P8" i="22"/>
  <c r="P7" i="22"/>
  <c r="P6" i="22"/>
  <c r="P5" i="22"/>
  <c r="P4" i="22"/>
  <c r="P2" i="22"/>
  <c r="A17" i="22" l="1"/>
  <c r="A18" i="22" s="1"/>
  <c r="A19" i="22" s="1"/>
  <c r="A20" i="22" s="1"/>
  <c r="A21" i="22" s="1"/>
  <c r="A22" i="22" s="1"/>
  <c r="P54" i="22"/>
  <c r="A23" i="22" l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</calcChain>
</file>

<file path=xl/sharedStrings.xml><?xml version="1.0" encoding="utf-8"?>
<sst xmlns="http://schemas.openxmlformats.org/spreadsheetml/2006/main" count="221" uniqueCount="123">
  <si>
    <t>S.NO.</t>
  </si>
  <si>
    <t>DATE</t>
  </si>
  <si>
    <t>CONSIGNE NAME</t>
  </si>
  <si>
    <t>DESTINATION</t>
  </si>
  <si>
    <t>PAID BY</t>
  </si>
  <si>
    <t>VENDOR</t>
  </si>
  <si>
    <t>UPS</t>
  </si>
  <si>
    <t>SKART</t>
  </si>
  <si>
    <t>SUMIT</t>
  </si>
  <si>
    <t>AWB.NO.</t>
  </si>
  <si>
    <t>GERMANY</t>
  </si>
  <si>
    <t>BUYING</t>
  </si>
  <si>
    <t>SALE</t>
  </si>
  <si>
    <t>PROFIT</t>
  </si>
  <si>
    <t>PCS</t>
  </si>
  <si>
    <t>DHL</t>
  </si>
  <si>
    <t>TOTAL</t>
  </si>
  <si>
    <t>SERVICE</t>
  </si>
  <si>
    <t>PROFIT RCVD BY</t>
  </si>
  <si>
    <t>STATUS</t>
  </si>
  <si>
    <t>EGYPT</t>
  </si>
  <si>
    <t>NETHERLANDS</t>
  </si>
  <si>
    <t>SHIPPER</t>
  </si>
  <si>
    <t>MISL.</t>
  </si>
  <si>
    <t>JBN AWB NO.</t>
  </si>
  <si>
    <t>ORANGE STAR</t>
  </si>
  <si>
    <t>02.04.26</t>
  </si>
  <si>
    <t>JBN00507</t>
  </si>
  <si>
    <t>1ZH4Y8210436271203</t>
  </si>
  <si>
    <t>RAVINDRA/GLASS WORLD</t>
  </si>
  <si>
    <t>WOOLWORTH GMBH</t>
  </si>
  <si>
    <t>03.04.26</t>
  </si>
  <si>
    <t>JBN00508</t>
  </si>
  <si>
    <t>CHANDRA METAL ENT</t>
  </si>
  <si>
    <t>HEBA GALAL</t>
  </si>
  <si>
    <t>JBN00509</t>
  </si>
  <si>
    <t>1ZH4Y8210426099679</t>
  </si>
  <si>
    <t>RAVINDRA/ALLEGIANCE</t>
  </si>
  <si>
    <t>LIGHT MAKERS BV</t>
  </si>
  <si>
    <t>DLVD</t>
  </si>
  <si>
    <t>IN TRANSIT</t>
  </si>
  <si>
    <t>07.04.26</t>
  </si>
  <si>
    <t>JBN00510</t>
  </si>
  <si>
    <t>1ZH4Y8210438191564</t>
  </si>
  <si>
    <t>RAVINDRA/ARYAN</t>
  </si>
  <si>
    <t>SHAFAQ BUTTER</t>
  </si>
  <si>
    <t>UK</t>
  </si>
  <si>
    <t>08.04.26</t>
  </si>
  <si>
    <t>JBN00511</t>
  </si>
  <si>
    <t>1ZH4Y8210401116624</t>
  </si>
  <si>
    <t>RAVINDRA/GALAXY OVS</t>
  </si>
  <si>
    <t>ZIJLSTRA BV</t>
  </si>
  <si>
    <t>10.04.26</t>
  </si>
  <si>
    <t>1ZH4Y8210408676383</t>
  </si>
  <si>
    <t>JBN00512</t>
  </si>
  <si>
    <t>RAVINDRA/ NN &amp; CO.</t>
  </si>
  <si>
    <t>KERSTEN BV</t>
  </si>
  <si>
    <t>11.04.26</t>
  </si>
  <si>
    <t>JBN00513</t>
  </si>
  <si>
    <t>1ZH4Y8210413186732</t>
  </si>
  <si>
    <t>RAVINDRA/EMKAY INTL.</t>
  </si>
  <si>
    <t>GARDEN TRADING</t>
  </si>
  <si>
    <t>14.04.26</t>
  </si>
  <si>
    <t>JBN00514</t>
  </si>
  <si>
    <t>1ZH40B480406293022</t>
  </si>
  <si>
    <t>INARA EXPORTS</t>
  </si>
  <si>
    <t>MANISH SETH</t>
  </si>
  <si>
    <t>USA</t>
  </si>
  <si>
    <t>JBN00515</t>
  </si>
  <si>
    <t>1ZH4Y8210405023600</t>
  </si>
  <si>
    <t>MR OTHNEILSIBILD</t>
  </si>
  <si>
    <t>JBN00516</t>
  </si>
  <si>
    <t>1ZH4Y8210420504311</t>
  </si>
  <si>
    <t>BERNADETTE ALLMAN</t>
  </si>
  <si>
    <t>AUSTRALIA</t>
  </si>
  <si>
    <t>JBN00517</t>
  </si>
  <si>
    <t>1ZH4Y8210417703193</t>
  </si>
  <si>
    <t>ALEXANDRU DONCIU</t>
  </si>
  <si>
    <t>SWITZERLAND</t>
  </si>
  <si>
    <t>JBN00518</t>
  </si>
  <si>
    <t>1ZH4Y8210422201895</t>
  </si>
  <si>
    <t>GIORGIO MONTI</t>
  </si>
  <si>
    <t>ITALY</t>
  </si>
  <si>
    <t>20.04.26</t>
  </si>
  <si>
    <t>JBN00519</t>
  </si>
  <si>
    <t>1ZH4Y8210400911712</t>
  </si>
  <si>
    <t>RAVINDRA/ ARYAN</t>
  </si>
  <si>
    <t>SONIA</t>
  </si>
  <si>
    <t>JBN00520</t>
  </si>
  <si>
    <t>VIKAS</t>
  </si>
  <si>
    <t>MS BLANKA</t>
  </si>
  <si>
    <t>POLAND</t>
  </si>
  <si>
    <t>JBN00521</t>
  </si>
  <si>
    <t>MS MARZENA</t>
  </si>
  <si>
    <t>22.04.26</t>
  </si>
  <si>
    <t>JBN00522</t>
  </si>
  <si>
    <t>RAMA ENTERPRISES LTD</t>
  </si>
  <si>
    <t>CHINA</t>
  </si>
  <si>
    <t>24.04.26</t>
  </si>
  <si>
    <t>JBN00523</t>
  </si>
  <si>
    <t>JHEJIANG KINGWOOD</t>
  </si>
  <si>
    <t>JBN00524</t>
  </si>
  <si>
    <t>29.04.26</t>
  </si>
  <si>
    <t>JBN00525</t>
  </si>
  <si>
    <t>GEMS &amp; ART GALLERY</t>
  </si>
  <si>
    <t>ALISON PATON</t>
  </si>
  <si>
    <t>ARAMEX</t>
  </si>
  <si>
    <t>JBN00526</t>
  </si>
  <si>
    <t>KIM MEDINA</t>
  </si>
  <si>
    <t>21.04.26</t>
  </si>
  <si>
    <t>1ZH4Y8210437363997</t>
  </si>
  <si>
    <t>1ZH40B480425715772</t>
  </si>
  <si>
    <t>MOHD. FAKIRI</t>
  </si>
  <si>
    <t>SOUTH AFRICA</t>
  </si>
  <si>
    <t>30.04.26</t>
  </si>
  <si>
    <t>U521616687</t>
  </si>
  <si>
    <t>ANJALI</t>
  </si>
  <si>
    <t>HYDERABAD</t>
  </si>
  <si>
    <t>DTDC</t>
  </si>
  <si>
    <t>JBN00527</t>
  </si>
  <si>
    <t>JBN00528</t>
  </si>
  <si>
    <t>JBN00529</t>
  </si>
  <si>
    <t>CH. WT.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</si>
</sst>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/>
    <xf numFmtId="0" fontId="4" fillId="0" borderId="4" xfId="0" applyFont="1" applyBorder="1"/>
    <xf numFmtId="0" fontId="4" fillId="0" borderId="1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Fill="1" applyBorder="1"/>
    <xf numFmtId="15" fontId="5" fillId="0" borderId="0" xfId="0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Fill="1" applyBorder="1" applyAlignment="1">
      <alignment horizontal="right" wrapText="1"/>
    </xf>
    <xf numFmtId="0" fontId="2" fillId="0" borderId="0" xfId="1" applyFont="1" applyAlignment="1">
      <alignment horizontal="center"/>
    </xf>
    <xf numFmtId="15" fontId="5" fillId="0" borderId="0" xfId="0" applyNumberFormat="1" applyFont="1" applyBorder="1" applyAlignment="1">
      <alignment horizontal="center"/>
    </xf>
    <xf numFmtId="0" fontId="0" fillId="0" borderId="0" xfId="0" applyBorder="1" applyAlignment="1"/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Alignment="1"/>
    <xf numFmtId="0" fontId="5" fillId="0" borderId="0" xfId="0" applyFont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23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7097-25D7-4CA2-B92D-DF4743C9B6E1}">
  <dimension ref="A1:R54"/>
  <sheetViews>
    <sheetView tabSelected="1" topLeftCell="A10" workbookViewId="0">
      <selection activeCell="O15" sqref="O15:O24"/>
    </sheetView>
  </sheetViews>
  <sheetFormatPr defaultRowHeight="15" x14ac:dyDescent="0.25"/>
  <cols>
    <col min="1" max="1" width="6.140625" customWidth="1"/>
    <col min="3" max="3" width="10.42578125" customWidth="1"/>
    <col min="4" max="4" width="19.42578125" style="1" bestFit="1" customWidth="1"/>
    <col min="5" max="5" width="26.7109375" bestFit="1" customWidth="1"/>
    <col min="6" max="6" width="22.28515625" bestFit="1" customWidth="1"/>
    <col min="7" max="7" width="4" customWidth="1"/>
    <col min="8" max="8" width="6" customWidth="1"/>
    <col min="9" max="9" width="13.85546875" bestFit="1" customWidth="1"/>
    <col min="11" max="11" width="13.5703125" bestFit="1" customWidth="1"/>
  </cols>
  <sheetData>
    <row r="1" spans="1:18" s="15" customFormat="1" ht="30" x14ac:dyDescent="0.25">
      <c r="A1" s="12" t="s">
        <v>0</v>
      </c>
      <c r="B1" s="13" t="s">
        <v>1</v>
      </c>
      <c r="C1" s="12" t="s">
        <v>24</v>
      </c>
      <c r="D1" s="14" t="s">
        <v>9</v>
      </c>
      <c r="E1" s="12" t="s">
        <v>22</v>
      </c>
      <c r="F1" s="12" t="s">
        <v>2</v>
      </c>
      <c r="G1" s="12" t="s">
        <v>14</v>
      </c>
      <c r="H1" s="12" t="s">
        <v>122</v>
      </c>
      <c r="I1" s="12" t="s">
        <v>3</v>
      </c>
      <c r="J1" s="12" t="s">
        <v>4</v>
      </c>
      <c r="K1" s="12" t="s">
        <v>5</v>
      </c>
      <c r="L1" s="12" t="s">
        <v>17</v>
      </c>
      <c r="M1" s="12" t="s">
        <v>11</v>
      </c>
      <c r="N1" s="12" t="s">
        <v>23</v>
      </c>
      <c r="O1" s="12" t="s">
        <v>12</v>
      </c>
      <c r="P1" s="12" t="s">
        <v>13</v>
      </c>
      <c r="Q1" s="12" t="s">
        <v>18</v>
      </c>
      <c r="R1" s="12" t="s">
        <v>19</v>
      </c>
    </row>
    <row r="2" spans="1:18" x14ac:dyDescent="0.25">
      <c r="A2" s="1">
        <v>1</v>
      </c>
      <c r="B2" t="s">
        <v>26</v>
      </c>
      <c r="C2" t="s">
        <v>27</v>
      </c>
      <c r="D2" s="2" t="s">
        <v>28</v>
      </c>
      <c r="E2" s="1" t="s">
        <v>29</v>
      </c>
      <c r="F2" s="1" t="s">
        <v>30</v>
      </c>
      <c r="G2" s="1">
        <v>1</v>
      </c>
      <c r="H2" s="1">
        <v>35</v>
      </c>
      <c r="I2" s="1" t="s">
        <v>10</v>
      </c>
      <c r="J2" s="1" t="s">
        <v>8</v>
      </c>
      <c r="K2" s="1" t="s">
        <v>25</v>
      </c>
      <c r="L2" s="1" t="s">
        <v>6</v>
      </c>
      <c r="M2">
        <f>35*410</f>
        <v>14350</v>
      </c>
      <c r="O2">
        <f>465*35</f>
        <v>16275</v>
      </c>
      <c r="P2">
        <f>O2-M2-N2</f>
        <v>1925</v>
      </c>
      <c r="R2" t="s">
        <v>39</v>
      </c>
    </row>
    <row r="3" spans="1:18" x14ac:dyDescent="0.25">
      <c r="A3" s="1">
        <f>A2+1</f>
        <v>2</v>
      </c>
      <c r="B3" t="s">
        <v>31</v>
      </c>
      <c r="C3" t="s">
        <v>32</v>
      </c>
      <c r="D3" s="2">
        <v>1818514806</v>
      </c>
      <c r="E3" s="1" t="s">
        <v>33</v>
      </c>
      <c r="F3" s="1" t="s">
        <v>34</v>
      </c>
      <c r="G3" s="1">
        <v>1</v>
      </c>
      <c r="H3" s="1">
        <v>0.1</v>
      </c>
      <c r="I3" s="1" t="s">
        <v>20</v>
      </c>
      <c r="J3" s="1" t="s">
        <v>8</v>
      </c>
      <c r="K3" s="1" t="s">
        <v>7</v>
      </c>
      <c r="L3" s="1" t="s">
        <v>15</v>
      </c>
      <c r="O3">
        <v>4200</v>
      </c>
      <c r="P3">
        <f>O3-M3-N3</f>
        <v>4200</v>
      </c>
      <c r="R3" t="s">
        <v>40</v>
      </c>
    </row>
    <row r="4" spans="1:18" s="22" customFormat="1" x14ac:dyDescent="0.25">
      <c r="A4" s="1">
        <f t="shared" ref="A4:A35" si="0">A3+1</f>
        <v>3</v>
      </c>
      <c r="B4" s="18" t="s">
        <v>31</v>
      </c>
      <c r="C4" s="19" t="s">
        <v>35</v>
      </c>
      <c r="D4" s="20" t="s">
        <v>36</v>
      </c>
      <c r="E4" s="21" t="s">
        <v>37</v>
      </c>
      <c r="F4" s="21" t="s">
        <v>38</v>
      </c>
      <c r="G4" s="21">
        <v>2</v>
      </c>
      <c r="H4" s="21">
        <v>31</v>
      </c>
      <c r="I4" s="21" t="s">
        <v>21</v>
      </c>
      <c r="J4" s="1" t="s">
        <v>8</v>
      </c>
      <c r="K4" s="1" t="s">
        <v>25</v>
      </c>
      <c r="L4" s="1" t="s">
        <v>6</v>
      </c>
      <c r="M4" s="22">
        <v>12520</v>
      </c>
      <c r="O4" s="23">
        <v>14415</v>
      </c>
      <c r="P4" s="22">
        <f t="shared" ref="P4:P53" si="1">O4-M4-N4</f>
        <v>1895</v>
      </c>
      <c r="R4" s="22" t="s">
        <v>39</v>
      </c>
    </row>
    <row r="5" spans="1:18" s="22" customFormat="1" x14ac:dyDescent="0.25">
      <c r="A5" s="1">
        <f t="shared" si="0"/>
        <v>4</v>
      </c>
      <c r="B5" s="18" t="s">
        <v>41</v>
      </c>
      <c r="C5" s="24" t="s">
        <v>42</v>
      </c>
      <c r="D5" s="21" t="s">
        <v>43</v>
      </c>
      <c r="E5" s="21" t="s">
        <v>44</v>
      </c>
      <c r="F5" s="21" t="s">
        <v>45</v>
      </c>
      <c r="G5" s="21">
        <v>1</v>
      </c>
      <c r="H5" s="21">
        <v>5</v>
      </c>
      <c r="I5" s="21" t="s">
        <v>46</v>
      </c>
      <c r="J5" s="1" t="s">
        <v>8</v>
      </c>
      <c r="K5" s="1" t="s">
        <v>25</v>
      </c>
      <c r="L5" s="1" t="s">
        <v>6</v>
      </c>
      <c r="M5" s="22">
        <v>3238</v>
      </c>
      <c r="O5" s="23">
        <v>3900</v>
      </c>
      <c r="P5" s="22">
        <f t="shared" si="1"/>
        <v>662</v>
      </c>
    </row>
    <row r="6" spans="1:18" s="22" customFormat="1" x14ac:dyDescent="0.25">
      <c r="A6" s="1">
        <f t="shared" si="0"/>
        <v>5</v>
      </c>
      <c r="B6" s="18" t="s">
        <v>47</v>
      </c>
      <c r="C6" s="24" t="s">
        <v>48</v>
      </c>
      <c r="D6" s="21" t="s">
        <v>49</v>
      </c>
      <c r="E6" s="21" t="s">
        <v>50</v>
      </c>
      <c r="F6" s="21" t="s">
        <v>51</v>
      </c>
      <c r="G6" s="21">
        <v>2</v>
      </c>
      <c r="H6" s="21">
        <v>54</v>
      </c>
      <c r="I6" s="21" t="s">
        <v>21</v>
      </c>
      <c r="J6" s="1" t="s">
        <v>8</v>
      </c>
      <c r="K6" s="1" t="s">
        <v>25</v>
      </c>
      <c r="L6" s="1" t="s">
        <v>6</v>
      </c>
      <c r="O6" s="23">
        <v>32130</v>
      </c>
      <c r="P6" s="22">
        <f t="shared" si="1"/>
        <v>32130</v>
      </c>
    </row>
    <row r="7" spans="1:18" x14ac:dyDescent="0.25">
      <c r="A7" s="1">
        <f t="shared" si="0"/>
        <v>6</v>
      </c>
      <c r="B7" s="11" t="s">
        <v>52</v>
      </c>
      <c r="C7" s="7" t="s">
        <v>54</v>
      </c>
      <c r="D7" s="1" t="s">
        <v>53</v>
      </c>
      <c r="E7" s="1" t="s">
        <v>55</v>
      </c>
      <c r="F7" s="1" t="s">
        <v>56</v>
      </c>
      <c r="G7" s="1">
        <v>2</v>
      </c>
      <c r="H7" s="1">
        <v>31</v>
      </c>
      <c r="I7" s="1" t="s">
        <v>21</v>
      </c>
      <c r="J7" s="1" t="s">
        <v>8</v>
      </c>
      <c r="K7" s="1" t="s">
        <v>25</v>
      </c>
      <c r="L7" s="1" t="s">
        <v>6</v>
      </c>
      <c r="O7" s="16">
        <v>18445</v>
      </c>
      <c r="P7">
        <f t="shared" si="1"/>
        <v>18445</v>
      </c>
    </row>
    <row r="8" spans="1:18" x14ac:dyDescent="0.25">
      <c r="A8" s="1">
        <f t="shared" si="0"/>
        <v>7</v>
      </c>
      <c r="B8" s="11" t="s">
        <v>57</v>
      </c>
      <c r="C8" s="7" t="s">
        <v>58</v>
      </c>
      <c r="D8" s="1" t="s">
        <v>59</v>
      </c>
      <c r="E8" s="1" t="s">
        <v>60</v>
      </c>
      <c r="F8" s="1" t="s">
        <v>61</v>
      </c>
      <c r="G8" s="1">
        <v>1</v>
      </c>
      <c r="H8" s="1">
        <v>12.5</v>
      </c>
      <c r="I8" s="1" t="s">
        <v>46</v>
      </c>
      <c r="J8" s="1" t="s">
        <v>8</v>
      </c>
      <c r="K8" s="1" t="s">
        <v>25</v>
      </c>
      <c r="L8" s="1" t="s">
        <v>6</v>
      </c>
      <c r="O8" s="25">
        <v>8875</v>
      </c>
      <c r="P8">
        <f t="shared" si="1"/>
        <v>8875</v>
      </c>
    </row>
    <row r="9" spans="1:18" x14ac:dyDescent="0.25">
      <c r="A9" s="1">
        <f t="shared" si="0"/>
        <v>8</v>
      </c>
      <c r="B9" s="11" t="s">
        <v>62</v>
      </c>
      <c r="C9" s="7" t="s">
        <v>63</v>
      </c>
      <c r="D9" s="1" t="s">
        <v>64</v>
      </c>
      <c r="E9" s="1" t="s">
        <v>65</v>
      </c>
      <c r="F9" s="1" t="s">
        <v>66</v>
      </c>
      <c r="G9" s="1">
        <v>1</v>
      </c>
      <c r="H9" s="1">
        <v>28</v>
      </c>
      <c r="I9" s="1" t="s">
        <v>67</v>
      </c>
      <c r="J9" s="1" t="s">
        <v>8</v>
      </c>
      <c r="K9" s="1" t="s">
        <v>25</v>
      </c>
      <c r="L9" s="1" t="s">
        <v>6</v>
      </c>
      <c r="O9">
        <v>24360</v>
      </c>
      <c r="P9">
        <f t="shared" si="1"/>
        <v>24360</v>
      </c>
    </row>
    <row r="10" spans="1:18" x14ac:dyDescent="0.25">
      <c r="A10" s="1">
        <f t="shared" si="0"/>
        <v>9</v>
      </c>
      <c r="B10" s="11" t="s">
        <v>62</v>
      </c>
      <c r="C10" s="7" t="s">
        <v>68</v>
      </c>
      <c r="D10" s="1" t="s">
        <v>69</v>
      </c>
      <c r="E10" s="1" t="s">
        <v>65</v>
      </c>
      <c r="F10" s="1" t="s">
        <v>70</v>
      </c>
      <c r="G10" s="1">
        <v>1</v>
      </c>
      <c r="H10" s="1">
        <v>4</v>
      </c>
      <c r="I10" s="1" t="s">
        <v>46</v>
      </c>
      <c r="J10" s="1" t="s">
        <v>8</v>
      </c>
      <c r="K10" s="1" t="s">
        <v>25</v>
      </c>
      <c r="L10" s="1" t="s">
        <v>6</v>
      </c>
      <c r="O10">
        <v>3900</v>
      </c>
      <c r="P10">
        <f t="shared" si="1"/>
        <v>3900</v>
      </c>
    </row>
    <row r="11" spans="1:18" s="22" customFormat="1" x14ac:dyDescent="0.25">
      <c r="A11" s="1">
        <f t="shared" si="0"/>
        <v>10</v>
      </c>
      <c r="B11" s="18" t="s">
        <v>62</v>
      </c>
      <c r="C11" s="24" t="s">
        <v>71</v>
      </c>
      <c r="D11" s="21" t="s">
        <v>72</v>
      </c>
      <c r="E11" s="21" t="s">
        <v>65</v>
      </c>
      <c r="F11" s="21" t="s">
        <v>73</v>
      </c>
      <c r="G11" s="21">
        <v>1</v>
      </c>
      <c r="H11" s="21">
        <v>6</v>
      </c>
      <c r="I11" s="21" t="s">
        <v>74</v>
      </c>
      <c r="J11" s="1" t="s">
        <v>8</v>
      </c>
      <c r="K11" s="1" t="s">
        <v>25</v>
      </c>
      <c r="L11" s="1" t="s">
        <v>6</v>
      </c>
      <c r="O11" s="23">
        <v>8500</v>
      </c>
      <c r="P11" s="22">
        <f t="shared" si="1"/>
        <v>8500</v>
      </c>
    </row>
    <row r="12" spans="1:18" s="22" customFormat="1" x14ac:dyDescent="0.25">
      <c r="A12" s="1">
        <f t="shared" si="0"/>
        <v>11</v>
      </c>
      <c r="B12" s="18" t="s">
        <v>62</v>
      </c>
      <c r="C12" s="24" t="s">
        <v>75</v>
      </c>
      <c r="D12" s="21" t="s">
        <v>76</v>
      </c>
      <c r="E12" s="21" t="s">
        <v>65</v>
      </c>
      <c r="F12" s="21" t="s">
        <v>77</v>
      </c>
      <c r="G12" s="21">
        <v>1</v>
      </c>
      <c r="H12" s="21">
        <v>14</v>
      </c>
      <c r="I12" s="21" t="s">
        <v>78</v>
      </c>
      <c r="J12" s="1" t="s">
        <v>8</v>
      </c>
      <c r="K12" s="1" t="s">
        <v>25</v>
      </c>
      <c r="L12" s="1" t="s">
        <v>6</v>
      </c>
      <c r="O12" s="23">
        <v>9800</v>
      </c>
      <c r="P12" s="22">
        <f t="shared" si="1"/>
        <v>9800</v>
      </c>
    </row>
    <row r="13" spans="1:18" x14ac:dyDescent="0.25">
      <c r="A13" s="1">
        <f t="shared" si="0"/>
        <v>12</v>
      </c>
      <c r="B13" s="11" t="s">
        <v>62</v>
      </c>
      <c r="C13" s="7" t="s">
        <v>79</v>
      </c>
      <c r="D13" s="1" t="s">
        <v>80</v>
      </c>
      <c r="E13" s="1" t="s">
        <v>65</v>
      </c>
      <c r="F13" s="1" t="s">
        <v>81</v>
      </c>
      <c r="G13" s="1">
        <v>1</v>
      </c>
      <c r="H13" s="1">
        <v>6</v>
      </c>
      <c r="I13" s="1" t="s">
        <v>82</v>
      </c>
      <c r="J13" s="1" t="s">
        <v>8</v>
      </c>
      <c r="K13" s="1" t="s">
        <v>25</v>
      </c>
      <c r="L13" s="1" t="s">
        <v>6</v>
      </c>
      <c r="O13" s="16">
        <v>5200</v>
      </c>
      <c r="P13">
        <f t="shared" si="1"/>
        <v>5200</v>
      </c>
    </row>
    <row r="14" spans="1:18" x14ac:dyDescent="0.25">
      <c r="A14" s="1">
        <f t="shared" si="0"/>
        <v>13</v>
      </c>
      <c r="B14" s="1" t="s">
        <v>83</v>
      </c>
      <c r="C14" s="7" t="s">
        <v>84</v>
      </c>
      <c r="D14" s="1" t="s">
        <v>85</v>
      </c>
      <c r="E14" s="1" t="s">
        <v>86</v>
      </c>
      <c r="F14" s="1" t="s">
        <v>87</v>
      </c>
      <c r="G14" s="1">
        <v>1</v>
      </c>
      <c r="H14" s="1">
        <v>2.5</v>
      </c>
      <c r="I14" s="1" t="s">
        <v>46</v>
      </c>
      <c r="J14" s="1" t="s">
        <v>8</v>
      </c>
      <c r="K14" s="1" t="s">
        <v>25</v>
      </c>
      <c r="L14" s="1" t="s">
        <v>6</v>
      </c>
      <c r="O14" s="25">
        <v>3700</v>
      </c>
      <c r="P14">
        <f t="shared" si="1"/>
        <v>3700</v>
      </c>
    </row>
    <row r="15" spans="1:18" x14ac:dyDescent="0.25">
      <c r="A15" s="1">
        <f t="shared" si="0"/>
        <v>14</v>
      </c>
      <c r="B15" s="11" t="s">
        <v>83</v>
      </c>
      <c r="C15" s="7" t="s">
        <v>88</v>
      </c>
      <c r="D15" s="1">
        <v>3344259531</v>
      </c>
      <c r="E15" s="1" t="s">
        <v>89</v>
      </c>
      <c r="F15" s="1" t="s">
        <v>90</v>
      </c>
      <c r="G15" s="1">
        <v>1</v>
      </c>
      <c r="H15" s="1">
        <v>0.5</v>
      </c>
      <c r="I15" s="1" t="s">
        <v>91</v>
      </c>
      <c r="J15" s="1" t="s">
        <v>8</v>
      </c>
      <c r="K15" s="1" t="s">
        <v>7</v>
      </c>
      <c r="L15" s="1" t="s">
        <v>15</v>
      </c>
      <c r="O15">
        <v>2897</v>
      </c>
      <c r="P15">
        <f t="shared" si="1"/>
        <v>2897</v>
      </c>
    </row>
    <row r="16" spans="1:18" x14ac:dyDescent="0.25">
      <c r="A16" s="1">
        <f t="shared" si="0"/>
        <v>15</v>
      </c>
      <c r="B16" s="11" t="s">
        <v>83</v>
      </c>
      <c r="C16" s="7" t="s">
        <v>92</v>
      </c>
      <c r="D16" s="1">
        <v>7960054550</v>
      </c>
      <c r="E16" s="1" t="s">
        <v>89</v>
      </c>
      <c r="F16" s="1" t="s">
        <v>93</v>
      </c>
      <c r="G16" s="1">
        <v>1</v>
      </c>
      <c r="H16" s="1">
        <v>0.5</v>
      </c>
      <c r="I16" s="1" t="s">
        <v>91</v>
      </c>
      <c r="J16" s="1" t="s">
        <v>8</v>
      </c>
      <c r="K16" s="1" t="s">
        <v>7</v>
      </c>
      <c r="L16" s="1" t="s">
        <v>15</v>
      </c>
      <c r="O16" s="16">
        <v>2897</v>
      </c>
      <c r="P16">
        <f t="shared" si="1"/>
        <v>2897</v>
      </c>
    </row>
    <row r="17" spans="1:18" x14ac:dyDescent="0.25">
      <c r="A17" s="1">
        <f t="shared" si="0"/>
        <v>16</v>
      </c>
      <c r="B17" s="11" t="s">
        <v>109</v>
      </c>
      <c r="C17" s="7" t="s">
        <v>119</v>
      </c>
      <c r="D17" s="1" t="s">
        <v>110</v>
      </c>
      <c r="E17" s="1" t="s">
        <v>65</v>
      </c>
      <c r="F17" s="1" t="s">
        <v>108</v>
      </c>
      <c r="G17" s="1">
        <v>1</v>
      </c>
      <c r="H17" s="1">
        <v>22</v>
      </c>
      <c r="I17" s="1" t="s">
        <v>78</v>
      </c>
      <c r="J17" s="1" t="s">
        <v>8</v>
      </c>
      <c r="K17" s="1" t="s">
        <v>25</v>
      </c>
      <c r="L17" s="1" t="s">
        <v>6</v>
      </c>
      <c r="O17">
        <v>13860</v>
      </c>
      <c r="P17">
        <f>O17-M17-N17</f>
        <v>13860</v>
      </c>
    </row>
    <row r="18" spans="1:18" x14ac:dyDescent="0.25">
      <c r="A18" s="1">
        <f t="shared" si="0"/>
        <v>17</v>
      </c>
      <c r="B18" s="11" t="s">
        <v>109</v>
      </c>
      <c r="C18" s="7" t="s">
        <v>120</v>
      </c>
      <c r="D18" s="1" t="s">
        <v>111</v>
      </c>
      <c r="E18" s="1" t="s">
        <v>65</v>
      </c>
      <c r="F18" s="1" t="s">
        <v>112</v>
      </c>
      <c r="G18" s="1">
        <v>1</v>
      </c>
      <c r="H18" s="1">
        <v>3</v>
      </c>
      <c r="I18" s="1" t="s">
        <v>113</v>
      </c>
      <c r="J18" s="1" t="s">
        <v>8</v>
      </c>
      <c r="K18" s="1" t="s">
        <v>7</v>
      </c>
      <c r="L18" s="1" t="s">
        <v>6</v>
      </c>
      <c r="M18">
        <v>4425</v>
      </c>
      <c r="O18">
        <v>5400</v>
      </c>
      <c r="P18">
        <f>O18-M18-N18</f>
        <v>975</v>
      </c>
    </row>
    <row r="19" spans="1:18" x14ac:dyDescent="0.25">
      <c r="A19" s="1">
        <f t="shared" si="0"/>
        <v>18</v>
      </c>
      <c r="B19" s="11" t="s">
        <v>94</v>
      </c>
      <c r="C19" s="7" t="s">
        <v>95</v>
      </c>
      <c r="D19" s="1">
        <v>5766230551</v>
      </c>
      <c r="E19" s="1" t="s">
        <v>89</v>
      </c>
      <c r="F19" s="1" t="s">
        <v>96</v>
      </c>
      <c r="G19" s="1">
        <v>1</v>
      </c>
      <c r="H19" s="1">
        <v>0.5</v>
      </c>
      <c r="I19" s="1" t="s">
        <v>97</v>
      </c>
      <c r="J19" s="1" t="s">
        <v>8</v>
      </c>
      <c r="K19" s="1" t="s">
        <v>7</v>
      </c>
      <c r="L19" s="1" t="s">
        <v>15</v>
      </c>
      <c r="O19" s="16">
        <v>2785</v>
      </c>
      <c r="P19">
        <f t="shared" si="1"/>
        <v>2785</v>
      </c>
    </row>
    <row r="20" spans="1:18" x14ac:dyDescent="0.25">
      <c r="A20" s="1">
        <f t="shared" si="0"/>
        <v>19</v>
      </c>
      <c r="B20" s="11" t="s">
        <v>98</v>
      </c>
      <c r="C20" s="7" t="s">
        <v>99</v>
      </c>
      <c r="D20" s="1">
        <v>1654022742</v>
      </c>
      <c r="E20" s="1" t="s">
        <v>89</v>
      </c>
      <c r="F20" s="1" t="s">
        <v>100</v>
      </c>
      <c r="G20" s="1">
        <v>1</v>
      </c>
      <c r="H20" s="1">
        <v>0.5</v>
      </c>
      <c r="I20" s="1" t="s">
        <v>97</v>
      </c>
      <c r="J20" s="1" t="s">
        <v>8</v>
      </c>
      <c r="K20" s="1" t="s">
        <v>7</v>
      </c>
      <c r="L20" s="1" t="s">
        <v>15</v>
      </c>
      <c r="O20">
        <v>2785</v>
      </c>
      <c r="P20">
        <f t="shared" si="1"/>
        <v>2785</v>
      </c>
    </row>
    <row r="21" spans="1:18" x14ac:dyDescent="0.25">
      <c r="A21" s="1">
        <f t="shared" si="0"/>
        <v>20</v>
      </c>
      <c r="B21" s="11" t="s">
        <v>98</v>
      </c>
      <c r="C21" s="7" t="s">
        <v>101</v>
      </c>
      <c r="D21" s="1">
        <v>1654015650</v>
      </c>
      <c r="E21" s="1" t="s">
        <v>89</v>
      </c>
      <c r="F21" s="1" t="s">
        <v>90</v>
      </c>
      <c r="G21" s="1">
        <v>1</v>
      </c>
      <c r="H21" s="1">
        <v>0.5</v>
      </c>
      <c r="I21" s="1" t="s">
        <v>91</v>
      </c>
      <c r="J21" s="1" t="s">
        <v>8</v>
      </c>
      <c r="K21" s="1" t="s">
        <v>7</v>
      </c>
      <c r="L21" s="1" t="s">
        <v>15</v>
      </c>
      <c r="O21" s="16">
        <v>2897</v>
      </c>
      <c r="P21">
        <f t="shared" si="1"/>
        <v>2897</v>
      </c>
    </row>
    <row r="22" spans="1:18" x14ac:dyDescent="0.25">
      <c r="A22" s="1">
        <f t="shared" si="0"/>
        <v>21</v>
      </c>
      <c r="B22" s="11" t="s">
        <v>102</v>
      </c>
      <c r="C22" s="7" t="s">
        <v>103</v>
      </c>
      <c r="D22" s="1">
        <v>37317311566</v>
      </c>
      <c r="E22" s="1" t="s">
        <v>104</v>
      </c>
      <c r="F22" s="1" t="s">
        <v>105</v>
      </c>
      <c r="G22" s="1">
        <v>1</v>
      </c>
      <c r="H22" s="1">
        <v>0.5</v>
      </c>
      <c r="I22" s="1" t="s">
        <v>74</v>
      </c>
      <c r="J22" s="1" t="s">
        <v>8</v>
      </c>
      <c r="K22" s="1" t="s">
        <v>7</v>
      </c>
      <c r="L22" s="1" t="s">
        <v>106</v>
      </c>
      <c r="O22" s="16">
        <v>1500</v>
      </c>
      <c r="P22">
        <f t="shared" si="1"/>
        <v>1500</v>
      </c>
    </row>
    <row r="23" spans="1:18" x14ac:dyDescent="0.25">
      <c r="A23" s="1">
        <f t="shared" si="0"/>
        <v>22</v>
      </c>
      <c r="B23" s="11" t="s">
        <v>102</v>
      </c>
      <c r="C23" s="7" t="s">
        <v>121</v>
      </c>
      <c r="D23" s="1" t="s">
        <v>115</v>
      </c>
      <c r="E23" s="1" t="s">
        <v>104</v>
      </c>
      <c r="F23" s="1" t="s">
        <v>116</v>
      </c>
      <c r="G23" s="1">
        <v>1</v>
      </c>
      <c r="H23" s="1">
        <v>1</v>
      </c>
      <c r="I23" s="1" t="s">
        <v>117</v>
      </c>
      <c r="J23" s="1" t="s">
        <v>8</v>
      </c>
      <c r="K23" s="1" t="s">
        <v>118</v>
      </c>
      <c r="L23" s="1" t="s">
        <v>118</v>
      </c>
      <c r="O23" s="16">
        <v>150</v>
      </c>
      <c r="P23">
        <f t="shared" si="1"/>
        <v>150</v>
      </c>
    </row>
    <row r="24" spans="1:18" x14ac:dyDescent="0.25">
      <c r="A24" s="1">
        <f t="shared" si="0"/>
        <v>23</v>
      </c>
      <c r="B24" s="11" t="s">
        <v>114</v>
      </c>
      <c r="C24" s="10" t="s">
        <v>107</v>
      </c>
      <c r="D24" s="1">
        <v>1574074401</v>
      </c>
      <c r="E24" s="8" t="s">
        <v>89</v>
      </c>
      <c r="F24" s="1" t="s">
        <v>90</v>
      </c>
      <c r="G24" s="8">
        <v>1</v>
      </c>
      <c r="H24" s="8">
        <v>0.5</v>
      </c>
      <c r="I24" s="8" t="s">
        <v>91</v>
      </c>
      <c r="J24" s="8" t="s">
        <v>8</v>
      </c>
      <c r="K24" s="1" t="s">
        <v>7</v>
      </c>
      <c r="L24" s="8" t="s">
        <v>15</v>
      </c>
      <c r="M24" s="9"/>
      <c r="N24" s="9"/>
      <c r="O24" s="16">
        <v>2897</v>
      </c>
      <c r="P24" s="9">
        <f>O24-M24-N24</f>
        <v>2897</v>
      </c>
      <c r="Q24" s="9"/>
      <c r="R24" s="9"/>
    </row>
    <row r="25" spans="1:18" x14ac:dyDescent="0.25">
      <c r="A25" s="1">
        <f t="shared" si="0"/>
        <v>24</v>
      </c>
      <c r="B25" s="11"/>
      <c r="C25" s="10"/>
      <c r="D25"/>
      <c r="E25" s="3"/>
      <c r="F25" s="1"/>
      <c r="G25" s="1"/>
      <c r="H25" s="1"/>
      <c r="I25" s="1"/>
      <c r="J25" s="1"/>
      <c r="K25" s="1"/>
      <c r="L25" s="1"/>
      <c r="O25" s="16"/>
      <c r="P25">
        <f t="shared" si="1"/>
        <v>0</v>
      </c>
    </row>
    <row r="26" spans="1:18" x14ac:dyDescent="0.25">
      <c r="A26" s="1">
        <f t="shared" si="0"/>
        <v>25</v>
      </c>
      <c r="B26" s="11"/>
      <c r="C26" s="10"/>
      <c r="E26" s="1"/>
      <c r="F26" s="1"/>
      <c r="G26" s="1"/>
      <c r="H26" s="1"/>
      <c r="I26" s="1"/>
      <c r="J26" s="1"/>
      <c r="K26" s="1"/>
      <c r="L26" s="1"/>
      <c r="P26">
        <f t="shared" si="1"/>
        <v>0</v>
      </c>
    </row>
    <row r="27" spans="1:18" x14ac:dyDescent="0.25">
      <c r="A27" s="1">
        <f t="shared" si="0"/>
        <v>26</v>
      </c>
      <c r="B27" s="11"/>
      <c r="C27" s="10"/>
      <c r="E27" s="1"/>
      <c r="F27" s="1"/>
      <c r="G27" s="1"/>
      <c r="H27" s="1"/>
      <c r="I27" s="1"/>
      <c r="J27" s="1"/>
      <c r="K27" s="1"/>
      <c r="L27" s="1"/>
      <c r="P27">
        <f t="shared" si="1"/>
        <v>0</v>
      </c>
    </row>
    <row r="28" spans="1:18" x14ac:dyDescent="0.25">
      <c r="A28" s="1">
        <f t="shared" si="0"/>
        <v>27</v>
      </c>
      <c r="B28" s="11"/>
      <c r="C28" s="10"/>
      <c r="E28" s="1"/>
      <c r="F28" s="1"/>
      <c r="G28" s="1"/>
      <c r="H28" s="1"/>
      <c r="I28" s="1"/>
      <c r="J28" s="1"/>
      <c r="K28" s="1"/>
      <c r="L28" s="1"/>
      <c r="P28">
        <f t="shared" si="1"/>
        <v>0</v>
      </c>
    </row>
    <row r="29" spans="1:18" x14ac:dyDescent="0.25">
      <c r="A29" s="1">
        <f t="shared" si="0"/>
        <v>28</v>
      </c>
      <c r="B29" s="11"/>
      <c r="C29" s="10"/>
      <c r="D29"/>
      <c r="E29" s="1"/>
      <c r="G29" s="1"/>
      <c r="H29" s="1"/>
      <c r="I29" s="1"/>
      <c r="J29" s="1"/>
      <c r="K29" s="1"/>
      <c r="L29" s="1"/>
      <c r="O29" s="16"/>
      <c r="P29">
        <f t="shared" si="1"/>
        <v>0</v>
      </c>
    </row>
    <row r="30" spans="1:18" x14ac:dyDescent="0.25">
      <c r="A30" s="1">
        <f t="shared" si="0"/>
        <v>29</v>
      </c>
      <c r="B30" s="11"/>
      <c r="C30" s="10"/>
      <c r="D30"/>
      <c r="E30" s="1"/>
      <c r="F30" s="1"/>
      <c r="G30" s="1"/>
      <c r="H30" s="1"/>
      <c r="I30" s="1"/>
      <c r="J30" s="1"/>
      <c r="K30" s="1"/>
      <c r="L30" s="1"/>
      <c r="O30" s="16"/>
      <c r="P30">
        <f t="shared" si="1"/>
        <v>0</v>
      </c>
    </row>
    <row r="31" spans="1:18" x14ac:dyDescent="0.25">
      <c r="A31" s="1">
        <f t="shared" si="0"/>
        <v>30</v>
      </c>
      <c r="B31" s="11"/>
      <c r="C31" s="10"/>
      <c r="D31"/>
      <c r="E31" s="1"/>
      <c r="F31" s="1"/>
      <c r="G31" s="1"/>
      <c r="H31" s="1"/>
      <c r="I31" s="1"/>
      <c r="J31" s="1"/>
      <c r="K31" s="1"/>
      <c r="L31" s="1"/>
      <c r="O31" s="16"/>
      <c r="P31">
        <f t="shared" si="1"/>
        <v>0</v>
      </c>
    </row>
    <row r="32" spans="1:18" x14ac:dyDescent="0.25">
      <c r="A32" s="1">
        <f t="shared" si="0"/>
        <v>31</v>
      </c>
      <c r="B32" s="11"/>
      <c r="C32" s="10"/>
      <c r="D32"/>
      <c r="E32" s="1"/>
      <c r="F32" s="17"/>
      <c r="G32" s="1"/>
      <c r="H32" s="1"/>
      <c r="I32" s="1"/>
      <c r="J32" s="1"/>
      <c r="K32" s="1"/>
      <c r="L32" s="1"/>
      <c r="O32" s="16"/>
      <c r="P32">
        <f t="shared" si="1"/>
        <v>0</v>
      </c>
    </row>
    <row r="33" spans="1:16" x14ac:dyDescent="0.25">
      <c r="A33" s="1">
        <f t="shared" si="0"/>
        <v>32</v>
      </c>
      <c r="B33" s="11"/>
      <c r="C33" s="10"/>
      <c r="D33"/>
      <c r="E33" s="1"/>
      <c r="F33" s="1"/>
      <c r="G33" s="1"/>
      <c r="H33" s="1"/>
      <c r="I33" s="1"/>
      <c r="J33" s="1"/>
      <c r="K33" s="1"/>
      <c r="L33" s="1"/>
      <c r="O33" s="16"/>
      <c r="P33">
        <f t="shared" si="1"/>
        <v>0</v>
      </c>
    </row>
    <row r="34" spans="1:16" x14ac:dyDescent="0.25">
      <c r="A34" s="1">
        <f t="shared" si="0"/>
        <v>33</v>
      </c>
      <c r="B34" s="11"/>
      <c r="C34" s="10"/>
      <c r="E34" s="1"/>
      <c r="F34" s="1"/>
      <c r="G34" s="1"/>
      <c r="H34" s="1"/>
      <c r="I34" s="1"/>
      <c r="J34" s="1"/>
      <c r="K34" s="1"/>
      <c r="L34" s="1"/>
      <c r="P34">
        <f t="shared" si="1"/>
        <v>0</v>
      </c>
    </row>
    <row r="35" spans="1:16" x14ac:dyDescent="0.25">
      <c r="A35" s="1">
        <f t="shared" si="0"/>
        <v>34</v>
      </c>
      <c r="B35" s="11"/>
      <c r="C35" s="10"/>
      <c r="D35"/>
      <c r="E35" s="1"/>
      <c r="F35" s="1"/>
      <c r="G35" s="1"/>
      <c r="H35" s="1"/>
      <c r="I35" s="1"/>
      <c r="J35" s="1"/>
      <c r="K35" s="1"/>
      <c r="L35" s="1"/>
      <c r="O35" s="16"/>
      <c r="P35">
        <f t="shared" si="1"/>
        <v>0</v>
      </c>
    </row>
    <row r="36" spans="1:16" x14ac:dyDescent="0.25">
      <c r="A36" s="1">
        <v>32</v>
      </c>
      <c r="B36" s="11"/>
      <c r="C36" s="10"/>
      <c r="D36"/>
      <c r="E36" s="1"/>
      <c r="F36" s="1"/>
      <c r="G36" s="1"/>
      <c r="H36" s="1"/>
      <c r="I36" s="1"/>
      <c r="J36" s="1"/>
      <c r="K36" s="1"/>
      <c r="L36" s="1"/>
      <c r="O36" s="16"/>
      <c r="P36">
        <f t="shared" si="1"/>
        <v>0</v>
      </c>
    </row>
    <row r="37" spans="1:16" x14ac:dyDescent="0.25">
      <c r="A37" s="1">
        <v>33</v>
      </c>
      <c r="B37" s="11"/>
      <c r="C37" s="10"/>
      <c r="D37"/>
      <c r="E37" s="1"/>
      <c r="F37" s="1"/>
      <c r="G37" s="1"/>
      <c r="H37" s="1"/>
      <c r="I37" s="1"/>
      <c r="J37" s="1"/>
      <c r="K37" s="1"/>
      <c r="L37" s="1"/>
      <c r="O37" s="16"/>
      <c r="P37">
        <f t="shared" si="1"/>
        <v>0</v>
      </c>
    </row>
    <row r="38" spans="1:16" x14ac:dyDescent="0.25">
      <c r="A38" s="1">
        <v>34</v>
      </c>
      <c r="B38" s="11"/>
      <c r="C38" s="10"/>
      <c r="D38"/>
      <c r="E38" s="1"/>
      <c r="F38" s="1"/>
      <c r="G38" s="1"/>
      <c r="H38" s="1"/>
      <c r="I38" s="1"/>
      <c r="J38" s="1"/>
      <c r="K38" s="1"/>
      <c r="L38" s="1"/>
      <c r="P38">
        <f t="shared" si="1"/>
        <v>0</v>
      </c>
    </row>
    <row r="39" spans="1:16" x14ac:dyDescent="0.25">
      <c r="A39" s="1">
        <v>35</v>
      </c>
      <c r="B39" s="11"/>
      <c r="C39" s="10"/>
      <c r="D39"/>
      <c r="E39" s="1"/>
      <c r="G39" s="1"/>
      <c r="H39" s="1"/>
      <c r="I39" s="1"/>
      <c r="J39" s="1"/>
      <c r="K39" s="1"/>
      <c r="L39" s="1"/>
      <c r="O39" s="16"/>
      <c r="P39">
        <f t="shared" si="1"/>
        <v>0</v>
      </c>
    </row>
    <row r="40" spans="1:16" x14ac:dyDescent="0.25">
      <c r="A40" s="1">
        <v>36</v>
      </c>
      <c r="B40" s="11"/>
      <c r="C40" s="10"/>
      <c r="D40"/>
      <c r="E40" s="1"/>
      <c r="G40" s="1"/>
      <c r="H40" s="1"/>
      <c r="I40" s="1"/>
      <c r="J40" s="1"/>
      <c r="K40" s="1"/>
      <c r="L40" s="1"/>
      <c r="O40" s="16"/>
      <c r="P40">
        <f t="shared" si="1"/>
        <v>0</v>
      </c>
    </row>
    <row r="41" spans="1:16" x14ac:dyDescent="0.25">
      <c r="A41" s="1">
        <v>37</v>
      </c>
      <c r="B41" s="11"/>
      <c r="C41" s="10"/>
      <c r="D41"/>
      <c r="E41" s="1"/>
      <c r="G41" s="1"/>
      <c r="H41" s="1"/>
      <c r="I41" s="1"/>
      <c r="J41" s="1"/>
      <c r="K41" s="1"/>
      <c r="L41" s="1"/>
      <c r="O41" s="16"/>
      <c r="P41">
        <f t="shared" si="1"/>
        <v>0</v>
      </c>
    </row>
    <row r="42" spans="1:16" x14ac:dyDescent="0.25">
      <c r="A42" s="1">
        <v>38</v>
      </c>
      <c r="B42" s="11"/>
      <c r="C42" s="10"/>
      <c r="D42"/>
      <c r="E42" s="1"/>
      <c r="G42" s="1"/>
      <c r="H42" s="1"/>
      <c r="I42" s="1"/>
      <c r="J42" s="1"/>
      <c r="K42" s="1"/>
      <c r="L42" s="1"/>
      <c r="O42" s="16"/>
      <c r="P42">
        <f t="shared" si="1"/>
        <v>0</v>
      </c>
    </row>
    <row r="43" spans="1:16" x14ac:dyDescent="0.25">
      <c r="A43" s="1">
        <v>39</v>
      </c>
      <c r="B43" s="11"/>
      <c r="C43" s="10"/>
      <c r="E43" s="1"/>
      <c r="G43" s="1"/>
      <c r="H43" s="1"/>
      <c r="I43" s="1"/>
      <c r="J43" s="1"/>
      <c r="K43" s="1"/>
      <c r="L43" s="1"/>
      <c r="P43">
        <f t="shared" si="1"/>
        <v>0</v>
      </c>
    </row>
    <row r="44" spans="1:16" x14ac:dyDescent="0.25">
      <c r="A44" s="1">
        <v>40</v>
      </c>
      <c r="B44" s="11"/>
      <c r="C44" s="10"/>
      <c r="E44" s="1"/>
      <c r="G44" s="1"/>
      <c r="H44" s="1"/>
      <c r="I44" s="1"/>
      <c r="J44" s="1"/>
      <c r="K44" s="1"/>
      <c r="L44" s="1"/>
      <c r="P44">
        <f t="shared" si="1"/>
        <v>0</v>
      </c>
    </row>
    <row r="45" spans="1:16" x14ac:dyDescent="0.25">
      <c r="A45" s="1">
        <v>41</v>
      </c>
      <c r="B45" s="11"/>
      <c r="C45" s="10"/>
      <c r="D45"/>
      <c r="E45" s="1"/>
      <c r="F45" s="1"/>
      <c r="G45" s="1"/>
      <c r="H45" s="1"/>
      <c r="I45" s="1"/>
      <c r="J45" s="1"/>
      <c r="K45" s="1"/>
      <c r="L45" s="1"/>
      <c r="O45" s="16"/>
      <c r="P45">
        <f t="shared" si="1"/>
        <v>0</v>
      </c>
    </row>
    <row r="46" spans="1:16" x14ac:dyDescent="0.25">
      <c r="A46" s="1">
        <v>42</v>
      </c>
      <c r="B46" s="11"/>
      <c r="C46" s="10"/>
      <c r="D46"/>
      <c r="E46" s="1"/>
      <c r="F46" s="1"/>
      <c r="G46" s="1"/>
      <c r="H46" s="1"/>
      <c r="I46" s="1"/>
      <c r="J46" s="1"/>
      <c r="K46" s="1"/>
      <c r="L46" s="1"/>
      <c r="O46" s="16"/>
      <c r="P46">
        <f t="shared" si="1"/>
        <v>0</v>
      </c>
    </row>
    <row r="47" spans="1:16" x14ac:dyDescent="0.25">
      <c r="A47" s="1"/>
      <c r="E47" s="1"/>
      <c r="F47" s="1"/>
      <c r="G47" s="1"/>
      <c r="H47" s="1"/>
      <c r="I47" s="1"/>
      <c r="J47" s="1"/>
      <c r="K47" s="1"/>
      <c r="L47" s="1"/>
      <c r="P47">
        <f t="shared" si="1"/>
        <v>0</v>
      </c>
    </row>
    <row r="48" spans="1:16" x14ac:dyDescent="0.25">
      <c r="A48" s="1"/>
      <c r="E48" s="1"/>
      <c r="F48" s="1"/>
      <c r="G48" s="1"/>
      <c r="H48" s="1"/>
      <c r="I48" s="1"/>
      <c r="J48" s="1"/>
      <c r="K48" s="1"/>
      <c r="L48" s="1"/>
      <c r="P48">
        <f t="shared" si="1"/>
        <v>0</v>
      </c>
    </row>
    <row r="49" spans="1:16" x14ac:dyDescent="0.25">
      <c r="A49" s="1"/>
      <c r="E49" s="1"/>
      <c r="F49" s="1"/>
      <c r="G49" s="1"/>
      <c r="H49" s="1"/>
      <c r="I49" s="1"/>
      <c r="J49" s="1"/>
      <c r="K49" s="1"/>
      <c r="L49" s="1"/>
      <c r="P49">
        <f t="shared" si="1"/>
        <v>0</v>
      </c>
    </row>
    <row r="50" spans="1:16" x14ac:dyDescent="0.25">
      <c r="A50" s="1"/>
      <c r="E50" s="1"/>
      <c r="F50" s="1"/>
      <c r="G50" s="1"/>
      <c r="H50" s="1"/>
      <c r="I50" s="1"/>
      <c r="J50" s="1"/>
      <c r="K50" s="1"/>
      <c r="L50" s="1"/>
      <c r="P50">
        <f t="shared" si="1"/>
        <v>0</v>
      </c>
    </row>
    <row r="51" spans="1:16" x14ac:dyDescent="0.25">
      <c r="A51" s="1"/>
      <c r="E51" s="1"/>
      <c r="F51" s="1"/>
      <c r="G51" s="1"/>
      <c r="H51" s="1"/>
      <c r="I51" s="1"/>
      <c r="J51" s="1"/>
      <c r="K51" s="1"/>
      <c r="L51" s="1"/>
      <c r="P51">
        <f t="shared" si="1"/>
        <v>0</v>
      </c>
    </row>
    <row r="52" spans="1:16" x14ac:dyDescent="0.25">
      <c r="A52" s="1"/>
      <c r="E52" s="1"/>
      <c r="F52" s="1"/>
      <c r="G52" s="1"/>
      <c r="H52" s="1"/>
      <c r="I52" s="1"/>
      <c r="J52" s="1"/>
      <c r="K52" s="1"/>
      <c r="L52" s="1"/>
      <c r="P52">
        <f t="shared" si="1"/>
        <v>0</v>
      </c>
    </row>
    <row r="53" spans="1:16" ht="15.75" thickBot="1" x14ac:dyDescent="0.3">
      <c r="A53" s="1"/>
      <c r="E53" s="1"/>
      <c r="F53" s="1"/>
      <c r="G53" s="1"/>
      <c r="H53" s="1"/>
      <c r="I53" s="1"/>
      <c r="J53" s="1"/>
      <c r="K53" s="1"/>
      <c r="L53" s="1"/>
      <c r="P53">
        <f t="shared" si="1"/>
        <v>0</v>
      </c>
    </row>
    <row r="54" spans="1:16" ht="15.75" thickBot="1" x14ac:dyDescent="0.3">
      <c r="A54" s="1"/>
      <c r="E54" s="1"/>
      <c r="F54" s="1"/>
      <c r="G54" s="1"/>
      <c r="H54" s="1"/>
      <c r="I54" s="1"/>
      <c r="J54" s="1"/>
      <c r="K54" s="1"/>
      <c r="L54" s="6" t="s">
        <v>16</v>
      </c>
      <c r="M54" s="4">
        <f>SUM(M2:M53)</f>
        <v>34533</v>
      </c>
      <c r="N54" s="4">
        <f>SUM(N2:N53)</f>
        <v>0</v>
      </c>
      <c r="O54" s="4">
        <f>SUM(O2:O53)</f>
        <v>191768</v>
      </c>
      <c r="P54" s="5">
        <f>SUM(P2:P53)</f>
        <v>157235</v>
      </c>
    </row>
  </sheetData>
  <autoFilter ref="A1:R54" xr:uid="{6BD7E94C-BB75-4F73-8637-AB0B3E4F09D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2026-01-12T08:30:35Z</cp:lastPrinted>
  <dcterms:created xsi:type="dcterms:W3CDTF">2025-04-08T06:28:13Z</dcterms:created>
  <dcterms:modified xsi:type="dcterms:W3CDTF">2026-05-18T10:35:14Z</dcterms:modified>
</cp:coreProperties>
</file>